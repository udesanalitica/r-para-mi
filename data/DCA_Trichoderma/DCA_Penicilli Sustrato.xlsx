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ailudesedu-my.sharepoint.com/personal/fr_ortiz_mail_udes_edu_co/Documents/1_2025B_INFO SEMESTRAL/2025B_GR_PMD_Manual R/DCA_Trichoderma/"/>
    </mc:Choice>
  </mc:AlternateContent>
  <xr:revisionPtr revIDLastSave="34" documentId="13_ncr:1_{F145A955-43C5-4412-9C63-8FAEAAFC82A7}" xr6:coauthVersionLast="47" xr6:coauthVersionMax="47" xr10:uidLastSave="{E7B61C64-18D5-49D9-8DD5-DD1C72B2E66A}"/>
  <bookViews>
    <workbookView xWindow="3345" yWindow="-11640" windowWidth="20730" windowHeight="11040" xr2:uid="{00000000-000D-0000-FFFF-FFFF00000000}"/>
  </bookViews>
  <sheets>
    <sheet name="MATRIZ Definitiva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H18" i="1"/>
  <c r="H17" i="1"/>
  <c r="H16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H14" i="1"/>
  <c r="H13" i="1"/>
  <c r="H12" i="1"/>
  <c r="H10" i="1"/>
  <c r="H9" i="1"/>
  <c r="H8" i="1"/>
  <c r="H7" i="1"/>
  <c r="H6" i="1"/>
  <c r="H5" i="1"/>
  <c r="H4" i="1"/>
  <c r="H15" i="1"/>
  <c r="H11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E16" i="1" s="1"/>
  <c r="G17" i="1"/>
  <c r="E17" i="1" s="1"/>
  <c r="G18" i="1"/>
  <c r="E18" i="1" s="1"/>
  <c r="G3" i="1"/>
</calcChain>
</file>

<file path=xl/sharedStrings.xml><?xml version="1.0" encoding="utf-8"?>
<sst xmlns="http://schemas.openxmlformats.org/spreadsheetml/2006/main" count="29" uniqueCount="16">
  <si>
    <t>TRAT</t>
  </si>
  <si>
    <t>REP</t>
  </si>
  <si>
    <t>RECUENTO</t>
  </si>
  <si>
    <t>DILUCIÓN</t>
  </si>
  <si>
    <t>SUMATORIA DE CONIDOS</t>
  </si>
  <si>
    <t>fORMULA Condios/mL</t>
  </si>
  <si>
    <t>aRROZ</t>
  </si>
  <si>
    <t>Avena</t>
  </si>
  <si>
    <t>cebada</t>
  </si>
  <si>
    <t>maiz</t>
  </si>
  <si>
    <t xml:space="preserve">Tratamiento	</t>
  </si>
  <si>
    <t xml:space="preserve">Repeticion	</t>
  </si>
  <si>
    <t>Resultado</t>
  </si>
  <si>
    <t>Arroz Blanco</t>
  </si>
  <si>
    <t>Cebada</t>
  </si>
  <si>
    <t>Maiz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</si>
</sst>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D088-5F46-4BDE-BD24-A2C1401E5067}">
  <dimension ref="A1:C17"/>
  <sheetViews>
    <sheetView tabSelected="1" workbookViewId="0">
      <selection activeCell="A19" sqref="A19:XFD19"/>
    </sheetView>
  </sheetViews>
  <sheetFormatPr baseColWidth="10" defaultRowHeight="14.5" x14ac:dyDescent="0.35"/>
  <sheetData>
    <row r="1" spans="1:3" x14ac:dyDescent="0.35">
      <c r="A1" t="s">
        <v>10</v>
      </c>
      <c r="B1" t="s">
        <v>11</v>
      </c>
      <c r="C1" t="s">
        <v>12</v>
      </c>
    </row>
    <row r="2" spans="1:3" x14ac:dyDescent="0.35">
      <c r="A2" t="s">
        <v>13</v>
      </c>
      <c r="B2">
        <v>1</v>
      </c>
      <c r="C2" s="2">
        <v>8.7621832306548235</v>
      </c>
    </row>
    <row r="3" spans="1:3" x14ac:dyDescent="0.35">
      <c r="A3" t="s">
        <v>13</v>
      </c>
      <c r="B3">
        <v>2</v>
      </c>
      <c r="C3" s="2">
        <v>8.7401889369486554</v>
      </c>
    </row>
    <row r="4" spans="1:3" x14ac:dyDescent="0.35">
      <c r="A4" t="s">
        <v>13</v>
      </c>
      <c r="B4">
        <v>3</v>
      </c>
      <c r="C4" s="2">
        <v>8.7153179540986763</v>
      </c>
    </row>
    <row r="5" spans="1:3" x14ac:dyDescent="0.35">
      <c r="A5" t="s">
        <v>13</v>
      </c>
      <c r="B5">
        <v>4</v>
      </c>
      <c r="C5" s="2">
        <v>8.7178701327377475</v>
      </c>
    </row>
    <row r="6" spans="1:3" x14ac:dyDescent="0.35">
      <c r="A6" t="s">
        <v>7</v>
      </c>
      <c r="B6">
        <v>1</v>
      </c>
      <c r="C6" s="2">
        <v>8.3924155377423482</v>
      </c>
    </row>
    <row r="7" spans="1:3" x14ac:dyDescent="0.35">
      <c r="A7" t="s">
        <v>7</v>
      </c>
      <c r="B7">
        <v>2</v>
      </c>
      <c r="C7" s="2">
        <v>8.3722121516540611</v>
      </c>
    </row>
    <row r="8" spans="1:3" x14ac:dyDescent="0.35">
      <c r="A8" t="s">
        <v>7</v>
      </c>
      <c r="B8">
        <v>3</v>
      </c>
      <c r="C8" s="2">
        <v>8.341038631677522</v>
      </c>
    </row>
    <row r="9" spans="1:3" x14ac:dyDescent="0.35">
      <c r="A9" t="s">
        <v>7</v>
      </c>
      <c r="B9">
        <v>4</v>
      </c>
      <c r="C9" s="2">
        <v>8.3959899981006476</v>
      </c>
    </row>
    <row r="10" spans="1:3" x14ac:dyDescent="0.35">
      <c r="A10" t="s">
        <v>14</v>
      </c>
      <c r="B10">
        <v>1</v>
      </c>
      <c r="C10" s="2">
        <v>8.9006947744523988</v>
      </c>
    </row>
    <row r="11" spans="1:3" x14ac:dyDescent="0.35">
      <c r="A11" t="s">
        <v>14</v>
      </c>
      <c r="B11">
        <v>2</v>
      </c>
      <c r="C11" s="2">
        <v>8.8487062662186755</v>
      </c>
    </row>
    <row r="12" spans="1:3" x14ac:dyDescent="0.35">
      <c r="A12" t="s">
        <v>14</v>
      </c>
      <c r="B12">
        <v>3</v>
      </c>
      <c r="C12" s="2">
        <v>8.8707315510749556</v>
      </c>
    </row>
    <row r="13" spans="1:3" x14ac:dyDescent="0.35">
      <c r="A13" t="s">
        <v>14</v>
      </c>
      <c r="B13">
        <v>4</v>
      </c>
      <c r="C13" s="2">
        <v>8.8221811603301088</v>
      </c>
    </row>
    <row r="14" spans="1:3" x14ac:dyDescent="0.35">
      <c r="A14" t="s">
        <v>15</v>
      </c>
      <c r="B14">
        <v>1</v>
      </c>
      <c r="C14" s="2">
        <v>9.1134285754155737</v>
      </c>
    </row>
    <row r="15" spans="1:3" x14ac:dyDescent="0.35">
      <c r="A15" t="s">
        <v>15</v>
      </c>
      <c r="B15">
        <v>2</v>
      </c>
      <c r="C15" s="2">
        <v>9.1278560610398536</v>
      </c>
    </row>
    <row r="16" spans="1:3" x14ac:dyDescent="0.35">
      <c r="A16" t="s">
        <v>15</v>
      </c>
      <c r="B16">
        <v>3</v>
      </c>
      <c r="C16" s="2">
        <v>9.1389339402569245</v>
      </c>
    </row>
    <row r="17" spans="1:3" x14ac:dyDescent="0.35">
      <c r="A17" t="s">
        <v>15</v>
      </c>
      <c r="B17">
        <v>4</v>
      </c>
      <c r="C17" s="2">
        <v>9.1405394669723421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8"/>
  <sheetViews>
    <sheetView topLeftCell="A8" workbookViewId="0">
      <selection activeCell="L6" sqref="L6"/>
    </sheetView>
  </sheetViews>
  <sheetFormatPr baseColWidth="10" defaultColWidth="9.1796875" defaultRowHeight="14.5" x14ac:dyDescent="0.35"/>
  <cols>
    <col min="5" max="5" width="9.1796875" style="2"/>
    <col min="8" max="9" width="12.7265625" customWidth="1"/>
    <col min="13" max="13" width="13.54296875" customWidth="1"/>
  </cols>
  <sheetData>
    <row r="2" spans="1:9" ht="29" x14ac:dyDescent="0.35">
      <c r="C2" t="s">
        <v>0</v>
      </c>
      <c r="D2" t="s">
        <v>1</v>
      </c>
      <c r="E2" s="2" t="s">
        <v>2</v>
      </c>
      <c r="G2" t="s">
        <v>3</v>
      </c>
      <c r="H2" s="6" t="s">
        <v>4</v>
      </c>
      <c r="I2" s="8" t="s">
        <v>5</v>
      </c>
    </row>
    <row r="3" spans="1:9" x14ac:dyDescent="0.35">
      <c r="A3" s="1" t="s">
        <v>6</v>
      </c>
      <c r="C3" s="1">
        <v>1</v>
      </c>
      <c r="D3">
        <v>1</v>
      </c>
      <c r="E3" s="2">
        <f>LOG(I3)</f>
        <v>8.7621832306548235</v>
      </c>
      <c r="G3">
        <f>((10+500)/10)</f>
        <v>51</v>
      </c>
      <c r="H3" s="7">
        <f>(120+90+85+78+194)</f>
        <v>567</v>
      </c>
      <c r="I3">
        <f>((H3*10000*G3)/(5*(1*1*0.1)))</f>
        <v>578340000</v>
      </c>
    </row>
    <row r="4" spans="1:9" x14ac:dyDescent="0.35">
      <c r="C4" s="1">
        <v>1</v>
      </c>
      <c r="D4">
        <v>2</v>
      </c>
      <c r="E4" s="2">
        <f t="shared" ref="E4:E18" si="0">LOG(I4)</f>
        <v>8.7401889369486554</v>
      </c>
      <c r="G4">
        <f t="shared" ref="G4:G18" si="1">((10+500)/10)</f>
        <v>51</v>
      </c>
      <c r="H4" s="7">
        <f>(119+91+75+68+186)</f>
        <v>539</v>
      </c>
      <c r="I4">
        <f t="shared" ref="I4:I18" si="2">((H4*10000*G4)/(5*(1*1*0.1)))</f>
        <v>549780000</v>
      </c>
    </row>
    <row r="5" spans="1:9" x14ac:dyDescent="0.35">
      <c r="C5" s="1">
        <v>1</v>
      </c>
      <c r="D5">
        <v>3</v>
      </c>
      <c r="E5" s="2">
        <f t="shared" si="0"/>
        <v>8.7153179540986763</v>
      </c>
      <c r="G5">
        <f t="shared" si="1"/>
        <v>51</v>
      </c>
      <c r="H5" s="7">
        <f>(121+93+88+71+136)</f>
        <v>509</v>
      </c>
      <c r="I5">
        <f t="shared" si="2"/>
        <v>519180000</v>
      </c>
    </row>
    <row r="6" spans="1:9" x14ac:dyDescent="0.35">
      <c r="C6" s="1">
        <v>1</v>
      </c>
      <c r="D6">
        <v>4</v>
      </c>
      <c r="E6" s="2">
        <f t="shared" si="0"/>
        <v>8.7178701327377475</v>
      </c>
      <c r="G6">
        <f t="shared" si="1"/>
        <v>51</v>
      </c>
      <c r="H6" s="7">
        <f>(112+71+55+78+196)</f>
        <v>512</v>
      </c>
      <c r="I6">
        <f t="shared" si="2"/>
        <v>522240000</v>
      </c>
    </row>
    <row r="7" spans="1:9" x14ac:dyDescent="0.35">
      <c r="A7" s="3" t="s">
        <v>7</v>
      </c>
      <c r="C7" s="3">
        <v>2</v>
      </c>
      <c r="D7">
        <v>1</v>
      </c>
      <c r="E7" s="2">
        <f t="shared" si="0"/>
        <v>8.3924155377423482</v>
      </c>
      <c r="G7">
        <f t="shared" si="1"/>
        <v>51</v>
      </c>
      <c r="H7" s="7">
        <f>(39+43+18+76+66)</f>
        <v>242</v>
      </c>
      <c r="I7">
        <f t="shared" si="2"/>
        <v>246840000</v>
      </c>
    </row>
    <row r="8" spans="1:9" x14ac:dyDescent="0.35">
      <c r="C8" s="3">
        <v>2</v>
      </c>
      <c r="D8">
        <v>2</v>
      </c>
      <c r="E8" s="2">
        <f t="shared" si="0"/>
        <v>8.3722121516540611</v>
      </c>
      <c r="G8">
        <f t="shared" si="1"/>
        <v>51</v>
      </c>
      <c r="H8" s="7">
        <f>(28+35+19+68+81)</f>
        <v>231</v>
      </c>
      <c r="I8">
        <f t="shared" si="2"/>
        <v>235620000</v>
      </c>
    </row>
    <row r="9" spans="1:9" x14ac:dyDescent="0.35">
      <c r="C9" s="3">
        <v>2</v>
      </c>
      <c r="D9">
        <v>3</v>
      </c>
      <c r="E9" s="2">
        <f t="shared" si="0"/>
        <v>8.341038631677522</v>
      </c>
      <c r="G9">
        <f t="shared" si="1"/>
        <v>51</v>
      </c>
      <c r="H9" s="7">
        <f>(24+48+33+71+39)</f>
        <v>215</v>
      </c>
      <c r="I9">
        <f t="shared" si="2"/>
        <v>219300000</v>
      </c>
    </row>
    <row r="10" spans="1:9" x14ac:dyDescent="0.35">
      <c r="C10" s="3">
        <v>2</v>
      </c>
      <c r="D10">
        <v>4</v>
      </c>
      <c r="E10" s="2">
        <f t="shared" si="0"/>
        <v>8.3959899981006476</v>
      </c>
      <c r="G10">
        <f t="shared" si="1"/>
        <v>51</v>
      </c>
      <c r="H10" s="7">
        <f>(38+42+28+69+67)</f>
        <v>244</v>
      </c>
      <c r="I10">
        <f t="shared" si="2"/>
        <v>248880000</v>
      </c>
    </row>
    <row r="11" spans="1:9" x14ac:dyDescent="0.35">
      <c r="A11" s="4" t="s">
        <v>8</v>
      </c>
      <c r="C11" s="4">
        <v>3</v>
      </c>
      <c r="D11">
        <v>1</v>
      </c>
      <c r="E11" s="2">
        <f t="shared" si="0"/>
        <v>8.9006947744523988</v>
      </c>
      <c r="G11">
        <f t="shared" si="1"/>
        <v>51</v>
      </c>
      <c r="H11" s="7">
        <f>(133+132+166+174+175)</f>
        <v>780</v>
      </c>
      <c r="I11">
        <f t="shared" si="2"/>
        <v>795600000</v>
      </c>
    </row>
    <row r="12" spans="1:9" x14ac:dyDescent="0.35">
      <c r="C12" s="4">
        <v>3</v>
      </c>
      <c r="D12">
        <v>2</v>
      </c>
      <c r="E12" s="2">
        <f t="shared" si="0"/>
        <v>8.8487062662186755</v>
      </c>
      <c r="G12">
        <f t="shared" si="1"/>
        <v>51</v>
      </c>
      <c r="H12" s="7">
        <f>(132+115+126+184+135)</f>
        <v>692</v>
      </c>
      <c r="I12">
        <f t="shared" si="2"/>
        <v>705840000</v>
      </c>
    </row>
    <row r="13" spans="1:9" x14ac:dyDescent="0.35">
      <c r="C13" s="4">
        <v>3</v>
      </c>
      <c r="D13">
        <v>3</v>
      </c>
      <c r="E13" s="2">
        <f t="shared" si="0"/>
        <v>8.8707315510749556</v>
      </c>
      <c r="G13">
        <f t="shared" si="1"/>
        <v>51</v>
      </c>
      <c r="H13" s="7">
        <f>(125+124+102+196+181)</f>
        <v>728</v>
      </c>
      <c r="I13">
        <f t="shared" si="2"/>
        <v>742560000</v>
      </c>
    </row>
    <row r="14" spans="1:9" x14ac:dyDescent="0.35">
      <c r="C14" s="4">
        <v>3</v>
      </c>
      <c r="D14">
        <v>4</v>
      </c>
      <c r="E14" s="2">
        <f t="shared" si="0"/>
        <v>8.8221811603301088</v>
      </c>
      <c r="G14">
        <f t="shared" si="1"/>
        <v>51</v>
      </c>
      <c r="H14" s="7">
        <f>(111+102+126+143+169)</f>
        <v>651</v>
      </c>
      <c r="I14">
        <f t="shared" si="2"/>
        <v>664020000</v>
      </c>
    </row>
    <row r="15" spans="1:9" x14ac:dyDescent="0.35">
      <c r="A15" s="5" t="s">
        <v>9</v>
      </c>
      <c r="C15" s="5">
        <v>4</v>
      </c>
      <c r="D15">
        <v>1</v>
      </c>
      <c r="E15" s="2">
        <f t="shared" si="0"/>
        <v>9.1134285754155737</v>
      </c>
      <c r="G15">
        <f t="shared" si="1"/>
        <v>51</v>
      </c>
      <c r="H15" s="7">
        <f>(310+236+202+194+331)</f>
        <v>1273</v>
      </c>
      <c r="I15">
        <f t="shared" si="2"/>
        <v>1298460000</v>
      </c>
    </row>
    <row r="16" spans="1:9" x14ac:dyDescent="0.35">
      <c r="C16" s="5">
        <v>4</v>
      </c>
      <c r="D16">
        <v>2</v>
      </c>
      <c r="E16" s="2">
        <f t="shared" si="0"/>
        <v>9.1278560610398536</v>
      </c>
      <c r="G16">
        <f t="shared" si="1"/>
        <v>51</v>
      </c>
      <c r="H16" s="7">
        <f>(312+221+282+191+310)</f>
        <v>1316</v>
      </c>
      <c r="I16">
        <f t="shared" si="2"/>
        <v>1342320000</v>
      </c>
    </row>
    <row r="17" spans="3:9" x14ac:dyDescent="0.35">
      <c r="C17" s="5">
        <v>4</v>
      </c>
      <c r="D17">
        <v>3</v>
      </c>
      <c r="E17" s="2">
        <f t="shared" si="0"/>
        <v>9.1389339402569245</v>
      </c>
      <c r="G17">
        <f t="shared" si="1"/>
        <v>51</v>
      </c>
      <c r="H17" s="7">
        <f>(285+311+221+192+341)</f>
        <v>1350</v>
      </c>
      <c r="I17">
        <f t="shared" si="2"/>
        <v>1377000000</v>
      </c>
    </row>
    <row r="18" spans="3:9" x14ac:dyDescent="0.35">
      <c r="C18" s="5">
        <v>4</v>
      </c>
      <c r="D18">
        <v>4</v>
      </c>
      <c r="E18" s="2">
        <f t="shared" si="0"/>
        <v>9.1405394669723421</v>
      </c>
      <c r="G18">
        <f t="shared" si="1"/>
        <v>51</v>
      </c>
      <c r="H18" s="7">
        <f>(289+319+209+199+339)</f>
        <v>1355</v>
      </c>
      <c r="I18">
        <f t="shared" si="2"/>
        <v>1382100000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Definitiva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Sebastián Mejía</dc:creator>
  <cp:keywords/>
  <dc:description/>
  <cp:lastModifiedBy>FAOM</cp:lastModifiedBy>
  <cp:revision/>
  <dcterms:created xsi:type="dcterms:W3CDTF">2015-06-05T18:19:34Z</dcterms:created>
  <dcterms:modified xsi:type="dcterms:W3CDTF">2025-09-23T00:11:56Z</dcterms:modified>
  <cp:category/>
  <cp:contentStatus/>
</cp:coreProperties>
</file>